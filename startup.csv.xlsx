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Anil Nayak\"/>
    </mc:Choice>
  </mc:AlternateContent>
  <xr:revisionPtr revIDLastSave="0" documentId="13_ncr:1_{4782A7C9-C46E-4CE1-9C01-F9EA33DDA868}" xr6:coauthVersionLast="47" xr6:coauthVersionMax="47" xr10:uidLastSave="{00000000-0000-0000-0000-000000000000}"/>
  <bookViews>
    <workbookView xWindow="-120" yWindow="-120" windowWidth="20730" windowHeight="11040" xr2:uid="{C25E730D-3485-43C7-8706-DF19441D339A}"/>
  </bookViews>
  <sheets>
    <sheet name="startup" sheetId="1" r:id="rId1"/>
    <sheet name="Regression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H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F50" i="1"/>
  <c r="F51" i="1"/>
  <c r="F52" i="1"/>
  <c r="F53" i="1"/>
  <c r="F42" i="1"/>
  <c r="F43" i="1"/>
  <c r="F44" i="1"/>
  <c r="F45" i="1"/>
  <c r="F46" i="1"/>
  <c r="F47" i="1"/>
  <c r="F48" i="1"/>
  <c r="F49" i="1"/>
  <c r="F30" i="1"/>
  <c r="F31" i="1"/>
  <c r="F32" i="1"/>
  <c r="F33" i="1"/>
  <c r="F34" i="1"/>
  <c r="F35" i="1"/>
  <c r="F36" i="1"/>
  <c r="F37" i="1"/>
  <c r="F38" i="1"/>
  <c r="F39" i="1"/>
  <c r="F40" i="1"/>
  <c r="F4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<sst xmlns="http://schemas.openxmlformats.org/spreadsheetml/2006/main" count="111" uniqueCount="38">
  <si>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</si>
  <si>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</si>
  <si>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</si>
  <si>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</si>
  <si>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</si>
  <si>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</si>
  <si>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</si>
  <si>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</si>
  <si>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</si>
  <si>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</si>
  <si>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</si>
  <si>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</si>
  <si>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</si>
  <si>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</si>
  <si>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</si>
  <si>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</si>
  <si>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</si>
  <si>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</si>
  <si>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</si>
  <si>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</si>
  <si>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</si>
  <si>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</si>
  <si>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</si>
  <si>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</si>
  <si>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</si>
  <si>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</si>
  <si>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</si>
  <si>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</si>
  <si>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</si>
  <si>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</si>
  <si>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</si>
  <si>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</si>
  <si>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Profit2</t>
  </si>
  <si>
    <t>Total Spend</t>
  </si>
  <si>
    <t>ROI</t>
  </si>
  <si>
    <t>ID</t>
  </si>
  <si>
    <t>ROI_Percentage_State</t>
  </si>
  <si>
    <t>Spender_Group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</si>
</sst>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_ ;\-#,##0.0\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10" xfId="0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Continuous"/>
    </xf>
    <xf numFmtId="16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216E-2DBA-48B8-96C0-010870F0EF7F}">
  <dimension ref="A1:U80"/>
  <sheetViews>
    <sheetView tabSelected="1" topLeftCell="A9" workbookViewId="0">
      <selection activeCell="K54" sqref="K54"/>
    </sheetView>
  </sheetViews>
  <sheetFormatPr defaultRowHeight="15" x14ac:dyDescent="0.25"/>
  <cols>
    <col min="1" max="1" width="10.28515625" bestFit="1" customWidth="1"/>
    <col min="2" max="2" width="14.42578125" bestFit="1" customWidth="1"/>
    <col min="3" max="3" width="16.5703125" bestFit="1" customWidth="1"/>
    <col min="4" max="4" width="9.7109375" bestFit="1" customWidth="1"/>
    <col min="5" max="5" width="10" bestFit="1" customWidth="1"/>
    <col min="6" max="6" width="12" bestFit="1" customWidth="1"/>
    <col min="7" max="7" width="11.5703125" bestFit="1" customWidth="1"/>
    <col min="8" max="8" width="9.85546875" bestFit="1" customWidth="1"/>
    <col min="11" max="11" width="15.140625" bestFit="1" customWidth="1"/>
    <col min="13" max="13" width="17.5703125" bestFit="1" customWidth="1"/>
    <col min="14" max="14" width="12.140625" bestFit="1" customWidth="1"/>
    <col min="15" max="15" width="14.7109375" bestFit="1" customWidth="1"/>
    <col min="16" max="16" width="12.7109375" bestFit="1" customWidth="1"/>
    <col min="17" max="17" width="12" bestFit="1" customWidth="1"/>
    <col min="18" max="18" width="13.71093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8" x14ac:dyDescent="0.25">
      <c r="A2" s="8">
        <v>165349.20000000001</v>
      </c>
      <c r="B2" s="8">
        <v>136897.79999999999</v>
      </c>
      <c r="C2" s="8">
        <v>471784.1</v>
      </c>
      <c r="D2" s="8" t="s">
        <v>5</v>
      </c>
      <c r="E2" s="8">
        <v>192261.83</v>
      </c>
      <c r="F2" s="8">
        <f>42467.53 + 0.8057*A2 - 0.02699*B2 + 0.027*C2</f>
        <v>184732.67951799999</v>
      </c>
      <c r="G2" s="8">
        <f>SUM(A2:C2)</f>
        <v>774031.1</v>
      </c>
      <c r="H2" s="8">
        <f>((F2-G2)/G2)*100</f>
        <v>-76.133687713839919</v>
      </c>
      <c r="I2">
        <f>_xlfn.RANK.EQ(B2, $B$2:$B$100, 1)</f>
        <v>37</v>
      </c>
      <c r="J2" s="7">
        <f>((F2-G2)/G2)*100</f>
        <v>-76.133687713839919</v>
      </c>
      <c r="K2" t="str">
        <f>IF(F2 &lt;= _xlfn.PERCENTILE.INC(F3:F53,0.33),"Small",
   IF(F2 &lt;= _xlfn.PERCENTILE.INC(F3:F53,0.66),"Mid","Large"))</f>
        <v>Large</v>
      </c>
    </row>
    <row r="3" spans="1:18" x14ac:dyDescent="0.25">
      <c r="A3" s="8">
        <v>162597.70000000001</v>
      </c>
      <c r="B3" s="8">
        <v>151377.59</v>
      </c>
      <c r="C3" s="8">
        <v>443898.53</v>
      </c>
      <c r="D3" s="8" t="s">
        <v>6</v>
      </c>
      <c r="E3" s="8">
        <v>191792.06</v>
      </c>
      <c r="F3" s="8">
        <f t="shared" ref="F3:F53" si="0">42467.53 + 0.8057*A3 - 0.02699*B3 + 0.027*C3</f>
        <v>181372.07604590003</v>
      </c>
      <c r="G3" s="8">
        <f t="shared" ref="G3:G53" si="1">SUM(A3:C3)</f>
        <v>757873.82000000007</v>
      </c>
      <c r="H3" s="8">
        <f t="shared" ref="H3:H53" si="2">((F3-G3)/G3)*100</f>
        <v>-76.068301706753772</v>
      </c>
      <c r="I3">
        <f>_xlfn.RANK.EQ(B3, $B$2:$B$100, 1)</f>
        <v>44</v>
      </c>
      <c r="J3" s="7">
        <f t="shared" ref="J3:J53" si="3">((F3-G3)/G3)*100</f>
        <v>-76.068301706753772</v>
      </c>
      <c r="K3" t="str">
        <f t="shared" ref="K3:K53" si="4">IF(F3 &lt;= _xlfn.PERCENTILE.INC(F4:F54,0.33),"Small",
   IF(F3 &lt;= _xlfn.PERCENTILE.INC(F4:F54,0.66),"Mid","Large"))</f>
        <v>Large</v>
      </c>
    </row>
    <row r="4" spans="1:18" x14ac:dyDescent="0.25">
      <c r="A4" s="8">
        <v>153441.51</v>
      </c>
      <c r="B4" s="8">
        <v>101145.55</v>
      </c>
      <c r="C4" s="8">
        <v>407934.54</v>
      </c>
      <c r="D4" s="8" t="s">
        <v>7</v>
      </c>
      <c r="E4" s="8">
        <v>191050.39</v>
      </c>
      <c r="F4" s="8">
        <f t="shared" si="0"/>
        <v>174379.66879250002</v>
      </c>
      <c r="G4" s="8">
        <f t="shared" si="1"/>
        <v>662521.59999999998</v>
      </c>
      <c r="H4" s="8">
        <f t="shared" si="2"/>
        <v>-73.679398710547702</v>
      </c>
      <c r="I4">
        <f t="shared" ref="I4:I53" si="5">_xlfn.RANK.EQ(B4, $B$2:$B$100, 1)</f>
        <v>14</v>
      </c>
      <c r="J4" s="7">
        <f t="shared" si="3"/>
        <v>-73.679398710547702</v>
      </c>
      <c r="K4" t="str">
        <f t="shared" si="4"/>
        <v>Large</v>
      </c>
    </row>
    <row r="5" spans="1:18" x14ac:dyDescent="0.25">
      <c r="A5" s="8">
        <v>144372.41</v>
      </c>
      <c r="B5" s="8">
        <v>118671.85</v>
      </c>
      <c r="C5" s="8">
        <v>383199.62</v>
      </c>
      <c r="D5" s="8" t="s">
        <v>5</v>
      </c>
      <c r="E5" s="8">
        <v>182901.99</v>
      </c>
      <c r="F5" s="8">
        <f t="shared" si="0"/>
        <v>165931.81724550002</v>
      </c>
      <c r="G5" s="8">
        <f t="shared" si="1"/>
        <v>646243.88</v>
      </c>
      <c r="H5" s="8">
        <f t="shared" si="2"/>
        <v>-74.323653595682785</v>
      </c>
      <c r="I5">
        <f t="shared" si="5"/>
        <v>25</v>
      </c>
      <c r="J5" s="7">
        <f t="shared" si="3"/>
        <v>-74.323653595682785</v>
      </c>
      <c r="K5" t="str">
        <f t="shared" si="4"/>
        <v>Large</v>
      </c>
    </row>
    <row r="6" spans="1:18" x14ac:dyDescent="0.25">
      <c r="A6" s="8">
        <v>142107.34</v>
      </c>
      <c r="B6" s="8">
        <v>91391.77</v>
      </c>
      <c r="C6" s="8">
        <v>366168.42</v>
      </c>
      <c r="D6" s="8" t="s">
        <v>7</v>
      </c>
      <c r="E6" s="8">
        <v>166187.94</v>
      </c>
      <c r="F6" s="8">
        <f t="shared" si="0"/>
        <v>164383.29730569996</v>
      </c>
      <c r="G6" s="8">
        <f t="shared" si="1"/>
        <v>599667.53</v>
      </c>
      <c r="H6" s="8">
        <f t="shared" si="2"/>
        <v>-72.587594111407043</v>
      </c>
      <c r="I6">
        <f t="shared" si="5"/>
        <v>8</v>
      </c>
      <c r="J6" s="7">
        <f t="shared" si="3"/>
        <v>-72.587594111407043</v>
      </c>
      <c r="K6" t="str">
        <f t="shared" si="4"/>
        <v>Large</v>
      </c>
      <c r="M6" t="s">
        <v>8</v>
      </c>
    </row>
    <row r="7" spans="1:18" ht="15.75" thickBot="1" x14ac:dyDescent="0.3">
      <c r="A7" s="8">
        <v>131876.9</v>
      </c>
      <c r="B7" s="8">
        <v>99814.71</v>
      </c>
      <c r="C7" s="8">
        <v>362861.36</v>
      </c>
      <c r="D7" s="8" t="s">
        <v>5</v>
      </c>
      <c r="E7" s="8">
        <v>156991.12</v>
      </c>
      <c r="F7" s="8">
        <f t="shared" si="0"/>
        <v>155824.00602709997</v>
      </c>
      <c r="G7" s="8">
        <f t="shared" si="1"/>
        <v>594552.97</v>
      </c>
      <c r="H7" s="8">
        <f t="shared" si="2"/>
        <v>-73.791400616987929</v>
      </c>
      <c r="I7">
        <f t="shared" si="5"/>
        <v>13</v>
      </c>
      <c r="J7" s="7">
        <f t="shared" si="3"/>
        <v>-73.791400616987929</v>
      </c>
      <c r="K7" t="str">
        <f t="shared" si="4"/>
        <v>Large</v>
      </c>
    </row>
    <row r="8" spans="1:18" x14ac:dyDescent="0.25">
      <c r="A8" s="8">
        <v>134615.46</v>
      </c>
      <c r="B8" s="8">
        <v>147198.87</v>
      </c>
      <c r="C8" s="8">
        <v>127716.82</v>
      </c>
      <c r="D8" s="8" t="s">
        <v>6</v>
      </c>
      <c r="E8" s="8">
        <v>156122.51</v>
      </c>
      <c r="F8" s="8">
        <f t="shared" si="0"/>
        <v>150402.66276070001</v>
      </c>
      <c r="G8" s="8">
        <f t="shared" si="1"/>
        <v>409531.14999999997</v>
      </c>
      <c r="H8" s="8">
        <f t="shared" si="2"/>
        <v>-63.274426680192697</v>
      </c>
      <c r="I8">
        <f t="shared" si="5"/>
        <v>42</v>
      </c>
      <c r="J8" s="7">
        <f t="shared" si="3"/>
        <v>-63.274426680192697</v>
      </c>
      <c r="K8" t="str">
        <f t="shared" si="4"/>
        <v>Large</v>
      </c>
      <c r="M8" s="6" t="s">
        <v>9</v>
      </c>
      <c r="N8" s="6"/>
    </row>
    <row r="9" spans="1:18" x14ac:dyDescent="0.25">
      <c r="A9" s="8">
        <v>130298.13</v>
      </c>
      <c r="B9" s="8">
        <v>145530.06</v>
      </c>
      <c r="C9" s="8">
        <v>323876.68</v>
      </c>
      <c r="D9" s="8" t="s">
        <v>7</v>
      </c>
      <c r="E9" s="8">
        <v>155752.6</v>
      </c>
      <c r="F9" s="8">
        <f t="shared" si="0"/>
        <v>152265.54738159999</v>
      </c>
      <c r="G9" s="8">
        <f t="shared" si="1"/>
        <v>599704.87</v>
      </c>
      <c r="H9" s="8">
        <f t="shared" si="2"/>
        <v>-74.609919812457079</v>
      </c>
      <c r="I9">
        <f t="shared" si="5"/>
        <v>41</v>
      </c>
      <c r="J9" s="7">
        <f t="shared" si="3"/>
        <v>-74.609919812457079</v>
      </c>
      <c r="K9" t="str">
        <f t="shared" si="4"/>
        <v>Large</v>
      </c>
      <c r="M9" t="s">
        <v>10</v>
      </c>
      <c r="N9">
        <v>1</v>
      </c>
    </row>
    <row r="10" spans="1:18" x14ac:dyDescent="0.25">
      <c r="A10" s="8">
        <v>120542.52</v>
      </c>
      <c r="B10" s="8">
        <v>148718.95000000001</v>
      </c>
      <c r="C10" s="8">
        <v>311613.28999999998</v>
      </c>
      <c r="D10" s="8" t="s">
        <v>5</v>
      </c>
      <c r="E10" s="8">
        <v>152211.76999999999</v>
      </c>
      <c r="F10" s="8">
        <f t="shared" si="0"/>
        <v>143988.27273349999</v>
      </c>
      <c r="G10" s="8">
        <f t="shared" si="1"/>
        <v>580874.76</v>
      </c>
      <c r="H10" s="8">
        <f t="shared" si="2"/>
        <v>-75.211821437464423</v>
      </c>
      <c r="I10">
        <f t="shared" si="5"/>
        <v>43</v>
      </c>
      <c r="J10" s="7">
        <f t="shared" si="3"/>
        <v>-75.211821437464423</v>
      </c>
      <c r="K10" t="str">
        <f t="shared" si="4"/>
        <v>Large</v>
      </c>
      <c r="M10" t="s">
        <v>11</v>
      </c>
      <c r="N10">
        <v>1</v>
      </c>
    </row>
    <row r="11" spans="1:18" x14ac:dyDescent="0.25">
      <c r="A11" s="8">
        <v>123334.88</v>
      </c>
      <c r="B11" s="8">
        <v>108679.17</v>
      </c>
      <c r="C11" s="8">
        <v>304981.62</v>
      </c>
      <c r="D11" s="8" t="s">
        <v>6</v>
      </c>
      <c r="E11" s="8">
        <v>149759.96</v>
      </c>
      <c r="F11" s="8">
        <f t="shared" si="0"/>
        <v>147139.69575770001</v>
      </c>
      <c r="G11" s="8">
        <f t="shared" si="1"/>
        <v>536995.66999999993</v>
      </c>
      <c r="H11" s="8">
        <f t="shared" si="2"/>
        <v>-72.599463277292344</v>
      </c>
      <c r="I11">
        <f t="shared" si="5"/>
        <v>17</v>
      </c>
      <c r="J11" s="7">
        <f t="shared" si="3"/>
        <v>-72.599463277292344</v>
      </c>
      <c r="K11" t="str">
        <f t="shared" si="4"/>
        <v>Large</v>
      </c>
      <c r="M11" t="s">
        <v>12</v>
      </c>
      <c r="N11">
        <v>1</v>
      </c>
    </row>
    <row r="12" spans="1:18" x14ac:dyDescent="0.25">
      <c r="A12" s="8">
        <v>101913.08</v>
      </c>
      <c r="B12" s="8">
        <v>110594.11</v>
      </c>
      <c r="C12" s="8">
        <v>229160.95</v>
      </c>
      <c r="D12" s="8" t="s">
        <v>7</v>
      </c>
      <c r="E12" s="8">
        <v>146121.95000000001</v>
      </c>
      <c r="F12" s="8">
        <f t="shared" si="0"/>
        <v>127781.3091771</v>
      </c>
      <c r="G12" s="8">
        <f t="shared" si="1"/>
        <v>441668.14</v>
      </c>
      <c r="H12" s="8">
        <f t="shared" si="2"/>
        <v>-71.068479339012313</v>
      </c>
      <c r="I12">
        <f t="shared" si="5"/>
        <v>18</v>
      </c>
      <c r="J12" s="7">
        <f t="shared" si="3"/>
        <v>-71.068479339012313</v>
      </c>
      <c r="K12" t="str">
        <f t="shared" si="4"/>
        <v>Large</v>
      </c>
      <c r="M12" t="s">
        <v>13</v>
      </c>
      <c r="N12">
        <v>2.1659555318242235E-11</v>
      </c>
    </row>
    <row r="13" spans="1:18" ht="15.75" thickBot="1" x14ac:dyDescent="0.3">
      <c r="A13" s="8">
        <v>100671.96</v>
      </c>
      <c r="B13" s="8">
        <v>91790.61</v>
      </c>
      <c r="C13" s="8">
        <v>249744.55</v>
      </c>
      <c r="D13" s="8" t="s">
        <v>6</v>
      </c>
      <c r="E13" s="8">
        <v>144259.4</v>
      </c>
      <c r="F13" s="8">
        <f t="shared" si="0"/>
        <v>127844.60245809999</v>
      </c>
      <c r="G13" s="8">
        <f t="shared" si="1"/>
        <v>442207.12</v>
      </c>
      <c r="H13" s="8">
        <f t="shared" si="2"/>
        <v>-71.089429211791071</v>
      </c>
      <c r="I13">
        <f t="shared" si="5"/>
        <v>9</v>
      </c>
      <c r="J13" s="7">
        <f t="shared" si="3"/>
        <v>-71.089429211791071</v>
      </c>
      <c r="K13" t="str">
        <f t="shared" si="4"/>
        <v>Large</v>
      </c>
      <c r="M13" s="4" t="s">
        <v>14</v>
      </c>
      <c r="N13" s="4">
        <v>51</v>
      </c>
    </row>
    <row r="14" spans="1:18" x14ac:dyDescent="0.25">
      <c r="A14" s="8">
        <v>93863.75</v>
      </c>
      <c r="B14" s="8">
        <v>127320.38</v>
      </c>
      <c r="C14" s="8">
        <v>249839.44</v>
      </c>
      <c r="D14" s="8" t="s">
        <v>7</v>
      </c>
      <c r="E14" s="8">
        <v>141585.51999999999</v>
      </c>
      <c r="F14" s="8">
        <f t="shared" si="0"/>
        <v>121402.8411988</v>
      </c>
      <c r="G14" s="8">
        <f t="shared" si="1"/>
        <v>471023.57</v>
      </c>
      <c r="H14" s="8">
        <f t="shared" si="2"/>
        <v>-74.225739659100284</v>
      </c>
      <c r="I14">
        <f t="shared" si="5"/>
        <v>31</v>
      </c>
      <c r="J14" s="7">
        <f t="shared" si="3"/>
        <v>-74.225739659100284</v>
      </c>
      <c r="K14" t="str">
        <f t="shared" si="4"/>
        <v>Large</v>
      </c>
    </row>
    <row r="15" spans="1:18" ht="15.75" thickBot="1" x14ac:dyDescent="0.3">
      <c r="A15" s="8">
        <v>91992.39</v>
      </c>
      <c r="B15" s="8">
        <v>135495.07</v>
      </c>
      <c r="C15" s="8">
        <v>252664.93</v>
      </c>
      <c r="D15" s="8" t="s">
        <v>6</v>
      </c>
      <c r="E15" s="8">
        <v>134307.35</v>
      </c>
      <c r="F15" s="8">
        <f t="shared" si="0"/>
        <v>119750.73979369999</v>
      </c>
      <c r="G15" s="8">
        <f t="shared" si="1"/>
        <v>480152.39</v>
      </c>
      <c r="H15" s="8">
        <f t="shared" si="2"/>
        <v>-75.059847188576938</v>
      </c>
      <c r="I15">
        <f t="shared" si="5"/>
        <v>36</v>
      </c>
      <c r="J15" s="7">
        <f t="shared" si="3"/>
        <v>-75.059847188576938</v>
      </c>
      <c r="K15" t="str">
        <f t="shared" si="4"/>
        <v>Large</v>
      </c>
      <c r="M15" t="s">
        <v>15</v>
      </c>
    </row>
    <row r="16" spans="1:18" x14ac:dyDescent="0.25">
      <c r="A16" s="8">
        <v>119943.24</v>
      </c>
      <c r="B16" s="8">
        <v>156547.42000000001</v>
      </c>
      <c r="C16" s="8">
        <v>256512.92</v>
      </c>
      <c r="D16" s="8" t="s">
        <v>7</v>
      </c>
      <c r="E16" s="8">
        <v>132602.65</v>
      </c>
      <c r="F16" s="8">
        <f t="shared" si="0"/>
        <v>141806.43244219999</v>
      </c>
      <c r="G16" s="8">
        <f t="shared" si="1"/>
        <v>533003.58000000007</v>
      </c>
      <c r="H16" s="8">
        <f t="shared" si="2"/>
        <v>-73.394844281871428</v>
      </c>
      <c r="I16">
        <f t="shared" si="5"/>
        <v>50</v>
      </c>
      <c r="J16" s="7">
        <f t="shared" si="3"/>
        <v>-73.394844281871428</v>
      </c>
      <c r="K16" t="str">
        <f t="shared" si="4"/>
        <v>Large</v>
      </c>
      <c r="M16" s="5"/>
      <c r="N16" s="5" t="s">
        <v>20</v>
      </c>
      <c r="O16" s="5" t="s">
        <v>21</v>
      </c>
      <c r="P16" s="5" t="s">
        <v>22</v>
      </c>
      <c r="Q16" s="5" t="s">
        <v>23</v>
      </c>
      <c r="R16" s="5" t="s">
        <v>24</v>
      </c>
    </row>
    <row r="17" spans="1:21" x14ac:dyDescent="0.25">
      <c r="A17" s="8">
        <v>114523.61</v>
      </c>
      <c r="B17" s="8">
        <v>122616.84</v>
      </c>
      <c r="C17" s="8">
        <v>261776.23</v>
      </c>
      <c r="D17" s="8" t="s">
        <v>5</v>
      </c>
      <c r="E17" s="8">
        <v>129917.04</v>
      </c>
      <c r="F17" s="8">
        <f t="shared" si="0"/>
        <v>138497.73227539999</v>
      </c>
      <c r="G17" s="8">
        <f t="shared" si="1"/>
        <v>498916.68000000005</v>
      </c>
      <c r="H17" s="8">
        <f t="shared" si="2"/>
        <v>-72.240308286465805</v>
      </c>
      <c r="I17">
        <f t="shared" si="5"/>
        <v>27</v>
      </c>
      <c r="J17" s="7">
        <f t="shared" si="3"/>
        <v>-72.240308286465805</v>
      </c>
      <c r="K17" t="str">
        <f t="shared" si="4"/>
        <v>Large</v>
      </c>
      <c r="M17" t="s">
        <v>16</v>
      </c>
      <c r="N17">
        <v>3</v>
      </c>
      <c r="O17">
        <v>72074662565.811203</v>
      </c>
      <c r="P17">
        <v>24024887521.937069</v>
      </c>
      <c r="Q17">
        <v>5.1210886150652258E+31</v>
      </c>
      <c r="R17">
        <v>0</v>
      </c>
    </row>
    <row r="18" spans="1:21" x14ac:dyDescent="0.25">
      <c r="A18" s="8">
        <v>78013.11</v>
      </c>
      <c r="B18" s="8">
        <v>121597.55</v>
      </c>
      <c r="C18" s="8">
        <v>264346.06</v>
      </c>
      <c r="D18" s="8" t="s">
        <v>6</v>
      </c>
      <c r="E18" s="8">
        <v>126992.93</v>
      </c>
      <c r="F18" s="8">
        <f t="shared" si="0"/>
        <v>109178.11847249999</v>
      </c>
      <c r="G18" s="8">
        <f t="shared" si="1"/>
        <v>463956.72</v>
      </c>
      <c r="H18" s="8">
        <f t="shared" si="2"/>
        <v>-76.468038123793093</v>
      </c>
      <c r="I18">
        <f t="shared" si="5"/>
        <v>26</v>
      </c>
      <c r="J18" s="7">
        <f t="shared" si="3"/>
        <v>-76.468038123793093</v>
      </c>
      <c r="K18" t="str">
        <f t="shared" si="4"/>
        <v>Large</v>
      </c>
      <c r="M18" t="s">
        <v>17</v>
      </c>
      <c r="N18">
        <v>47</v>
      </c>
      <c r="O18">
        <v>2.2049407819447785E-20</v>
      </c>
      <c r="P18">
        <v>4.6913633658399547E-22</v>
      </c>
    </row>
    <row r="19" spans="1:21" ht="15.75" thickBot="1" x14ac:dyDescent="0.3">
      <c r="A19" s="8">
        <v>94657.16</v>
      </c>
      <c r="B19" s="8">
        <v>145077.57999999999</v>
      </c>
      <c r="C19" s="8">
        <v>282574.31</v>
      </c>
      <c r="D19" s="8" t="s">
        <v>5</v>
      </c>
      <c r="E19" s="8">
        <v>125370.37</v>
      </c>
      <c r="F19" s="8">
        <f t="shared" si="0"/>
        <v>122446.66629779999</v>
      </c>
      <c r="G19" s="8">
        <f t="shared" si="1"/>
        <v>522309.05</v>
      </c>
      <c r="H19" s="8">
        <f t="shared" si="2"/>
        <v>-76.556663856810445</v>
      </c>
      <c r="I19">
        <f t="shared" si="5"/>
        <v>40</v>
      </c>
      <c r="J19" s="7">
        <f t="shared" si="3"/>
        <v>-76.556663856810445</v>
      </c>
      <c r="K19" t="str">
        <f t="shared" si="4"/>
        <v>Large</v>
      </c>
      <c r="M19" s="4" t="s">
        <v>18</v>
      </c>
      <c r="N19" s="4">
        <v>50</v>
      </c>
      <c r="O19" s="4">
        <v>72074662565.811203</v>
      </c>
      <c r="P19" s="4"/>
      <c r="Q19" s="4"/>
      <c r="R19" s="4"/>
    </row>
    <row r="20" spans="1:21" ht="15.75" thickBot="1" x14ac:dyDescent="0.3">
      <c r="A20" s="8">
        <v>91749.16</v>
      </c>
      <c r="B20" s="8">
        <v>114175.79</v>
      </c>
      <c r="C20" s="8">
        <v>294919.57</v>
      </c>
      <c r="D20" s="8" t="s">
        <v>7</v>
      </c>
      <c r="E20" s="8">
        <v>124266.9</v>
      </c>
      <c r="F20" s="8">
        <f t="shared" si="0"/>
        <v>121271.05202989999</v>
      </c>
      <c r="G20" s="8">
        <f t="shared" si="1"/>
        <v>500844.52</v>
      </c>
      <c r="H20" s="8">
        <f t="shared" si="2"/>
        <v>-75.786686848465465</v>
      </c>
      <c r="I20">
        <f t="shared" si="5"/>
        <v>20</v>
      </c>
      <c r="J20" s="7">
        <f t="shared" si="3"/>
        <v>-75.786686848465465</v>
      </c>
      <c r="K20" t="str">
        <f t="shared" si="4"/>
        <v>Large</v>
      </c>
    </row>
    <row r="21" spans="1:21" x14ac:dyDescent="0.25">
      <c r="A21" s="8">
        <v>86419.7</v>
      </c>
      <c r="B21" s="8">
        <v>153514.10999999999</v>
      </c>
      <c r="C21" s="8">
        <v>0</v>
      </c>
      <c r="D21" s="8" t="s">
        <v>5</v>
      </c>
      <c r="E21" s="8">
        <v>122776.86</v>
      </c>
      <c r="F21" s="8">
        <f t="shared" si="0"/>
        <v>107952.5364611</v>
      </c>
      <c r="G21" s="8">
        <f t="shared" si="1"/>
        <v>239933.81</v>
      </c>
      <c r="H21" s="8">
        <f t="shared" si="2"/>
        <v>-55.007367881542002</v>
      </c>
      <c r="I21">
        <f t="shared" si="5"/>
        <v>47</v>
      </c>
      <c r="J21" s="7">
        <f t="shared" si="3"/>
        <v>-55.007367881542002</v>
      </c>
      <c r="K21" t="str">
        <f t="shared" si="4"/>
        <v>Large</v>
      </c>
      <c r="M21" s="5"/>
      <c r="N21" s="5" t="s">
        <v>25</v>
      </c>
      <c r="O21" s="5" t="s">
        <v>13</v>
      </c>
      <c r="P21" s="5" t="s">
        <v>26</v>
      </c>
      <c r="Q21" s="5" t="s">
        <v>27</v>
      </c>
      <c r="R21" s="5" t="s">
        <v>28</v>
      </c>
      <c r="S21" s="5" t="s">
        <v>29</v>
      </c>
      <c r="T21" s="5" t="s">
        <v>30</v>
      </c>
      <c r="U21" s="5" t="s">
        <v>31</v>
      </c>
    </row>
    <row r="22" spans="1:21" x14ac:dyDescent="0.25">
      <c r="A22" s="8">
        <v>76253.86</v>
      </c>
      <c r="B22" s="8">
        <v>113867.3</v>
      </c>
      <c r="C22" s="8">
        <v>298664.46999999997</v>
      </c>
      <c r="D22" s="8" t="s">
        <v>6</v>
      </c>
      <c r="E22" s="8">
        <v>118474.03</v>
      </c>
      <c r="F22" s="8">
        <f t="shared" si="0"/>
        <v>108895.92726500001</v>
      </c>
      <c r="G22" s="8">
        <f t="shared" si="1"/>
        <v>488785.63</v>
      </c>
      <c r="H22" s="8">
        <f t="shared" si="2"/>
        <v>-77.721127508392584</v>
      </c>
      <c r="I22">
        <f t="shared" si="5"/>
        <v>19</v>
      </c>
      <c r="J22" s="7">
        <f t="shared" si="3"/>
        <v>-77.721127508392584</v>
      </c>
      <c r="K22" t="str">
        <f t="shared" si="4"/>
        <v>Large</v>
      </c>
      <c r="M22" t="s">
        <v>19</v>
      </c>
      <c r="N22">
        <v>42467.530000000006</v>
      </c>
      <c r="O22">
        <v>1.5149434155853206E-11</v>
      </c>
      <c r="P22">
        <v>2803241993272207.5</v>
      </c>
      <c r="Q22">
        <v>0</v>
      </c>
      <c r="R22">
        <v>42467.529999999977</v>
      </c>
      <c r="S22">
        <v>42467.530000000035</v>
      </c>
      <c r="T22">
        <v>42467.529999999977</v>
      </c>
      <c r="U22">
        <v>42467.530000000035</v>
      </c>
    </row>
    <row r="23" spans="1:21" x14ac:dyDescent="0.25">
      <c r="A23" s="8">
        <v>78389.47</v>
      </c>
      <c r="B23" s="8">
        <v>153773.43</v>
      </c>
      <c r="C23" s="8">
        <v>299737.28999999998</v>
      </c>
      <c r="D23" s="8" t="s">
        <v>5</v>
      </c>
      <c r="E23" s="8">
        <v>111313.02</v>
      </c>
      <c r="F23" s="8">
        <f t="shared" si="0"/>
        <v>109568.48793329998</v>
      </c>
      <c r="G23" s="8">
        <f t="shared" si="1"/>
        <v>531900.18999999994</v>
      </c>
      <c r="H23" s="8">
        <f t="shared" si="2"/>
        <v>-79.400554842196996</v>
      </c>
      <c r="I23">
        <f t="shared" si="5"/>
        <v>48</v>
      </c>
      <c r="J23" s="7">
        <f t="shared" si="3"/>
        <v>-79.400554842196996</v>
      </c>
      <c r="K23" t="str">
        <f t="shared" si="4"/>
        <v>Large</v>
      </c>
      <c r="M23">
        <v>165349.20000000001</v>
      </c>
      <c r="N23">
        <v>0.80569999999999997</v>
      </c>
      <c r="O23">
        <v>1.0521045333134896E-16</v>
      </c>
      <c r="P23">
        <v>7657984301831063</v>
      </c>
      <c r="Q23">
        <v>0</v>
      </c>
      <c r="R23">
        <v>0.80569999999999975</v>
      </c>
      <c r="S23">
        <v>0.80570000000000019</v>
      </c>
      <c r="T23">
        <v>0.80569999999999975</v>
      </c>
      <c r="U23">
        <v>0.80570000000000019</v>
      </c>
    </row>
    <row r="24" spans="1:21" x14ac:dyDescent="0.25">
      <c r="A24" s="8">
        <v>73994.559999999998</v>
      </c>
      <c r="B24" s="8">
        <v>122782.75</v>
      </c>
      <c r="C24" s="8">
        <v>303319.26</v>
      </c>
      <c r="D24" s="8" t="s">
        <v>7</v>
      </c>
      <c r="E24" s="8">
        <v>110352.25</v>
      </c>
      <c r="F24" s="8">
        <f t="shared" si="0"/>
        <v>106960.6605895</v>
      </c>
      <c r="G24" s="8">
        <f t="shared" si="1"/>
        <v>500096.57</v>
      </c>
      <c r="H24" s="8">
        <f t="shared" si="2"/>
        <v>-78.611998760659375</v>
      </c>
      <c r="I24">
        <f t="shared" si="5"/>
        <v>28</v>
      </c>
      <c r="J24" s="7">
        <f t="shared" si="3"/>
        <v>-78.611998760659375</v>
      </c>
      <c r="K24" t="str">
        <f t="shared" si="4"/>
        <v>Large</v>
      </c>
      <c r="M24">
        <v>136897.79999999999</v>
      </c>
      <c r="N24">
        <v>-2.6989999999999899E-2</v>
      </c>
      <c r="O24">
        <v>1.1837800787734676E-16</v>
      </c>
      <c r="P24">
        <v>-227998430485201.66</v>
      </c>
      <c r="Q24">
        <v>0</v>
      </c>
      <c r="R24">
        <v>-2.6990000000000139E-2</v>
      </c>
      <c r="S24">
        <v>-2.698999999999966E-2</v>
      </c>
      <c r="T24">
        <v>-2.6990000000000139E-2</v>
      </c>
      <c r="U24">
        <v>-2.698999999999966E-2</v>
      </c>
    </row>
    <row r="25" spans="1:21" ht="15.75" thickBot="1" x14ac:dyDescent="0.3">
      <c r="A25" s="8">
        <v>67532.53</v>
      </c>
      <c r="B25" s="8">
        <v>105751.03</v>
      </c>
      <c r="C25" s="8">
        <v>304768.73</v>
      </c>
      <c r="D25" s="8" t="s">
        <v>7</v>
      </c>
      <c r="E25" s="8">
        <v>108733.99</v>
      </c>
      <c r="F25" s="8">
        <f t="shared" si="0"/>
        <v>102253.0248313</v>
      </c>
      <c r="G25" s="8">
        <f t="shared" si="1"/>
        <v>478052.29</v>
      </c>
      <c r="H25" s="8">
        <f t="shared" si="2"/>
        <v>-78.610493669782429</v>
      </c>
      <c r="I25">
        <f t="shared" si="5"/>
        <v>16</v>
      </c>
      <c r="J25" s="7">
        <f t="shared" si="3"/>
        <v>-78.610493669782429</v>
      </c>
      <c r="K25" t="str">
        <f t="shared" si="4"/>
        <v>Large</v>
      </c>
      <c r="M25" s="4">
        <v>471784.1</v>
      </c>
      <c r="N25" s="4">
        <v>2.6999999999999798E-2</v>
      </c>
      <c r="O25" s="4">
        <v>3.9084831301455225E-17</v>
      </c>
      <c r="P25" s="4">
        <v>690805079642099.5</v>
      </c>
      <c r="Q25" s="4">
        <v>0</v>
      </c>
      <c r="R25" s="4">
        <v>2.6999999999999719E-2</v>
      </c>
      <c r="S25" s="4">
        <v>2.6999999999999878E-2</v>
      </c>
      <c r="T25" s="4">
        <v>2.6999999999999719E-2</v>
      </c>
      <c r="U25" s="4">
        <v>2.6999999999999878E-2</v>
      </c>
    </row>
    <row r="26" spans="1:21" x14ac:dyDescent="0.25">
      <c r="A26" s="8">
        <v>77044.009999999995</v>
      </c>
      <c r="B26" s="8">
        <v>99281.34</v>
      </c>
      <c r="C26" s="8">
        <v>140574.81</v>
      </c>
      <c r="D26" s="8" t="s">
        <v>5</v>
      </c>
      <c r="E26" s="8">
        <v>108552.04</v>
      </c>
      <c r="F26" s="8">
        <f t="shared" si="0"/>
        <v>105657.80536039999</v>
      </c>
      <c r="G26" s="8">
        <f t="shared" si="1"/>
        <v>316900.15999999997</v>
      </c>
      <c r="H26" s="8">
        <f t="shared" si="2"/>
        <v>-66.658961181843509</v>
      </c>
      <c r="I26">
        <f t="shared" si="5"/>
        <v>12</v>
      </c>
      <c r="J26" s="7">
        <f t="shared" si="3"/>
        <v>-66.658961181843509</v>
      </c>
      <c r="K26" t="str">
        <f t="shared" si="4"/>
        <v>Large</v>
      </c>
    </row>
    <row r="27" spans="1:21" x14ac:dyDescent="0.25">
      <c r="A27" s="8">
        <v>64664.71</v>
      </c>
      <c r="B27" s="8">
        <v>139553.16</v>
      </c>
      <c r="C27" s="8">
        <v>137962.62</v>
      </c>
      <c r="D27" s="8" t="s">
        <v>6</v>
      </c>
      <c r="E27" s="8">
        <v>107404.34</v>
      </c>
      <c r="F27" s="8">
        <f t="shared" si="0"/>
        <v>94526.337798599983</v>
      </c>
      <c r="G27" s="8">
        <f t="shared" si="1"/>
        <v>342180.49</v>
      </c>
      <c r="H27" s="8">
        <f t="shared" si="2"/>
        <v>-72.375298837581312</v>
      </c>
      <c r="I27">
        <f t="shared" si="5"/>
        <v>38</v>
      </c>
      <c r="J27" s="7">
        <f t="shared" si="3"/>
        <v>-72.375298837581312</v>
      </c>
      <c r="K27" t="str">
        <f t="shared" si="4"/>
        <v>Large</v>
      </c>
    </row>
    <row r="28" spans="1:21" x14ac:dyDescent="0.25">
      <c r="A28" s="8">
        <v>75328.87</v>
      </c>
      <c r="B28" s="8">
        <v>144135.98000000001</v>
      </c>
      <c r="C28" s="8">
        <v>134050.07</v>
      </c>
      <c r="D28" s="8" t="s">
        <v>7</v>
      </c>
      <c r="E28" s="8">
        <v>105733.54</v>
      </c>
      <c r="F28" s="8">
        <f t="shared" si="0"/>
        <v>102889.1223488</v>
      </c>
      <c r="G28" s="8">
        <f t="shared" si="1"/>
        <v>353514.92000000004</v>
      </c>
      <c r="H28" s="8">
        <f t="shared" si="2"/>
        <v>-70.895394641674528</v>
      </c>
      <c r="I28">
        <f t="shared" si="5"/>
        <v>39</v>
      </c>
      <c r="J28" s="7">
        <f t="shared" si="3"/>
        <v>-70.895394641674528</v>
      </c>
      <c r="K28" t="str">
        <f t="shared" si="4"/>
        <v>Large</v>
      </c>
    </row>
    <row r="29" spans="1:21" x14ac:dyDescent="0.25">
      <c r="A29" s="8">
        <v>72107.600000000006</v>
      </c>
      <c r="B29" s="8">
        <v>127864.55</v>
      </c>
      <c r="C29" s="8">
        <v>353183.81</v>
      </c>
      <c r="D29" s="8" t="s">
        <v>5</v>
      </c>
      <c r="E29" s="8">
        <v>105008.31</v>
      </c>
      <c r="F29" s="8">
        <f t="shared" si="0"/>
        <v>106649.5219855</v>
      </c>
      <c r="G29" s="8">
        <f t="shared" si="1"/>
        <v>553155.96</v>
      </c>
      <c r="H29" s="8">
        <f t="shared" si="2"/>
        <v>-80.719809656303795</v>
      </c>
      <c r="I29">
        <f t="shared" si="5"/>
        <v>33</v>
      </c>
      <c r="J29" s="7">
        <f t="shared" si="3"/>
        <v>-80.719809656303795</v>
      </c>
      <c r="K29" t="str">
        <f t="shared" si="4"/>
        <v>Large</v>
      </c>
    </row>
    <row r="30" spans="1:21" x14ac:dyDescent="0.25">
      <c r="A30" s="8">
        <v>66051.520000000004</v>
      </c>
      <c r="B30" s="8">
        <v>182645.56</v>
      </c>
      <c r="C30" s="8">
        <v>118148.2</v>
      </c>
      <c r="D30" s="8" t="s">
        <v>7</v>
      </c>
      <c r="E30" s="8">
        <v>103282.38</v>
      </c>
      <c r="F30" s="8">
        <f>42467.53 + 0.8057*A30 - 0.02699*B30 + 0.027*C30</f>
        <v>93945.637399599989</v>
      </c>
      <c r="G30" s="8">
        <f t="shared" si="1"/>
        <v>366845.28</v>
      </c>
      <c r="H30" s="8">
        <f t="shared" si="2"/>
        <v>-74.390937400203157</v>
      </c>
      <c r="I30">
        <f t="shared" si="5"/>
        <v>52</v>
      </c>
      <c r="J30" s="7">
        <f t="shared" si="3"/>
        <v>-74.390937400203157</v>
      </c>
      <c r="K30" t="str">
        <f t="shared" si="4"/>
        <v>Large</v>
      </c>
    </row>
    <row r="31" spans="1:21" x14ac:dyDescent="0.25">
      <c r="A31" s="8">
        <v>65605.48</v>
      </c>
      <c r="B31" s="8">
        <v>153032.06</v>
      </c>
      <c r="C31" s="8">
        <v>107138.38</v>
      </c>
      <c r="D31" s="8" t="s">
        <v>5</v>
      </c>
      <c r="E31" s="8">
        <v>101004.64</v>
      </c>
      <c r="F31" s="8">
        <f t="shared" si="0"/>
        <v>94088.266196599987</v>
      </c>
      <c r="G31" s="8">
        <f t="shared" si="1"/>
        <v>325775.92</v>
      </c>
      <c r="H31" s="8">
        <f t="shared" si="2"/>
        <v>-71.118716755799511</v>
      </c>
      <c r="I31">
        <f t="shared" si="5"/>
        <v>46</v>
      </c>
      <c r="J31" s="7">
        <f t="shared" si="3"/>
        <v>-71.118716755799511</v>
      </c>
      <c r="K31" t="str">
        <f t="shared" si="4"/>
        <v>Large</v>
      </c>
    </row>
    <row r="32" spans="1:21" x14ac:dyDescent="0.25">
      <c r="A32" s="8">
        <v>61994.48</v>
      </c>
      <c r="B32" s="8">
        <v>115641.28</v>
      </c>
      <c r="C32" s="8">
        <v>91131.24</v>
      </c>
      <c r="D32" s="8" t="s">
        <v>7</v>
      </c>
      <c r="E32" s="8">
        <v>99937.59</v>
      </c>
      <c r="F32" s="8">
        <f t="shared" si="0"/>
        <v>91755.867868800007</v>
      </c>
      <c r="G32" s="8">
        <f t="shared" si="1"/>
        <v>268767</v>
      </c>
      <c r="H32" s="8">
        <f t="shared" si="2"/>
        <v>-65.860441248814027</v>
      </c>
      <c r="I32">
        <f t="shared" si="5"/>
        <v>21</v>
      </c>
      <c r="J32" s="7">
        <f t="shared" si="3"/>
        <v>-65.860441248814027</v>
      </c>
      <c r="K32" t="str">
        <f t="shared" si="4"/>
        <v>Large</v>
      </c>
    </row>
    <row r="33" spans="1:11" x14ac:dyDescent="0.25">
      <c r="A33" s="8">
        <v>61136.38</v>
      </c>
      <c r="B33" s="8">
        <v>152701.92000000001</v>
      </c>
      <c r="C33" s="8">
        <v>88218.23</v>
      </c>
      <c r="D33" s="8" t="s">
        <v>5</v>
      </c>
      <c r="E33" s="8">
        <v>97483.56</v>
      </c>
      <c r="F33" s="8">
        <f t="shared" si="0"/>
        <v>89985.578755199997</v>
      </c>
      <c r="G33" s="8">
        <f t="shared" si="1"/>
        <v>302056.53000000003</v>
      </c>
      <c r="H33" s="8">
        <f t="shared" si="2"/>
        <v>-70.209027179382616</v>
      </c>
      <c r="I33">
        <f t="shared" si="5"/>
        <v>45</v>
      </c>
      <c r="J33" s="7">
        <f t="shared" si="3"/>
        <v>-70.209027179382616</v>
      </c>
      <c r="K33" t="str">
        <f t="shared" si="4"/>
        <v>Large</v>
      </c>
    </row>
    <row r="34" spans="1:11" x14ac:dyDescent="0.25">
      <c r="A34" s="8">
        <v>63408.86</v>
      </c>
      <c r="B34" s="8">
        <v>129219.61</v>
      </c>
      <c r="C34" s="8">
        <v>46085.25</v>
      </c>
      <c r="D34" s="8" t="s">
        <v>6</v>
      </c>
      <c r="E34" s="8">
        <v>97427.839999999997</v>
      </c>
      <c r="F34" s="8">
        <f t="shared" si="0"/>
        <v>91312.712978099982</v>
      </c>
      <c r="G34" s="8">
        <f t="shared" si="1"/>
        <v>238713.72</v>
      </c>
      <c r="H34" s="8">
        <f t="shared" si="2"/>
        <v>-61.748024798030052</v>
      </c>
      <c r="I34">
        <f t="shared" si="5"/>
        <v>34</v>
      </c>
      <c r="J34" s="7">
        <f t="shared" si="3"/>
        <v>-61.748024798030052</v>
      </c>
      <c r="K34" t="str">
        <f t="shared" si="4"/>
        <v>Large</v>
      </c>
    </row>
    <row r="35" spans="1:11" x14ac:dyDescent="0.25">
      <c r="A35" s="8">
        <v>55493.95</v>
      </c>
      <c r="B35" s="8">
        <v>103057.49</v>
      </c>
      <c r="C35" s="8">
        <v>214634.81</v>
      </c>
      <c r="D35" s="8" t="s">
        <v>7</v>
      </c>
      <c r="E35" s="8">
        <v>96778.92</v>
      </c>
      <c r="F35" s="8">
        <f t="shared" si="0"/>
        <v>90192.623729899991</v>
      </c>
      <c r="G35" s="8">
        <f t="shared" si="1"/>
        <v>373186.25</v>
      </c>
      <c r="H35" s="8">
        <f t="shared" si="2"/>
        <v>-75.831739853786146</v>
      </c>
      <c r="I35">
        <f t="shared" si="5"/>
        <v>15</v>
      </c>
      <c r="J35" s="7">
        <f t="shared" si="3"/>
        <v>-75.831739853786146</v>
      </c>
      <c r="K35" t="str">
        <f t="shared" si="4"/>
        <v>Large</v>
      </c>
    </row>
    <row r="36" spans="1:11" x14ac:dyDescent="0.25">
      <c r="A36" s="8">
        <v>46426.07</v>
      </c>
      <c r="B36" s="8">
        <v>157693.92000000001</v>
      </c>
      <c r="C36" s="8">
        <v>210797.67</v>
      </c>
      <c r="D36" s="8" t="s">
        <v>6</v>
      </c>
      <c r="E36" s="8">
        <v>96712.8</v>
      </c>
      <c r="F36" s="8">
        <f t="shared" si="0"/>
        <v>81308.392788199984</v>
      </c>
      <c r="G36" s="8">
        <f t="shared" si="1"/>
        <v>414917.66000000003</v>
      </c>
      <c r="H36" s="8">
        <f t="shared" si="2"/>
        <v>-80.403728106391043</v>
      </c>
      <c r="I36">
        <f t="shared" si="5"/>
        <v>51</v>
      </c>
      <c r="J36" s="7">
        <f t="shared" si="3"/>
        <v>-80.403728106391043</v>
      </c>
      <c r="K36" t="str">
        <f t="shared" si="4"/>
        <v>Large</v>
      </c>
    </row>
    <row r="37" spans="1:11" x14ac:dyDescent="0.25">
      <c r="A37" s="8">
        <v>46014.02</v>
      </c>
      <c r="B37" s="8">
        <v>85047.44</v>
      </c>
      <c r="C37" s="8">
        <v>205517.64</v>
      </c>
      <c r="D37" s="8" t="s">
        <v>5</v>
      </c>
      <c r="E37" s="8">
        <v>96479.51</v>
      </c>
      <c r="F37" s="8">
        <f t="shared" si="0"/>
        <v>82794.571788400004</v>
      </c>
      <c r="G37" s="8">
        <f t="shared" si="1"/>
        <v>336579.1</v>
      </c>
      <c r="H37" s="8">
        <f t="shared" si="2"/>
        <v>-75.401154798857078</v>
      </c>
      <c r="I37">
        <f t="shared" si="5"/>
        <v>7</v>
      </c>
      <c r="J37" s="7">
        <f t="shared" si="3"/>
        <v>-75.401154798857078</v>
      </c>
      <c r="K37" t="str">
        <f t="shared" si="4"/>
        <v>Large</v>
      </c>
    </row>
    <row r="38" spans="1:11" x14ac:dyDescent="0.25">
      <c r="A38" s="8">
        <v>28663.759999999998</v>
      </c>
      <c r="B38" s="8">
        <v>127056.21</v>
      </c>
      <c r="C38" s="8">
        <v>201126.82</v>
      </c>
      <c r="D38" s="8" t="s">
        <v>7</v>
      </c>
      <c r="E38" s="8">
        <v>90708.19</v>
      </c>
      <c r="F38" s="8">
        <f t="shared" si="0"/>
        <v>67563.098464099996</v>
      </c>
      <c r="G38" s="8">
        <f t="shared" si="1"/>
        <v>356846.79000000004</v>
      </c>
      <c r="H38" s="8">
        <f t="shared" si="2"/>
        <v>-81.066636899241843</v>
      </c>
      <c r="I38">
        <f t="shared" si="5"/>
        <v>30</v>
      </c>
      <c r="J38" s="7">
        <f t="shared" si="3"/>
        <v>-81.066636899241843</v>
      </c>
      <c r="K38" t="str">
        <f t="shared" si="4"/>
        <v>Large</v>
      </c>
    </row>
    <row r="39" spans="1:11" x14ac:dyDescent="0.25">
      <c r="A39" s="8">
        <v>44069.95</v>
      </c>
      <c r="B39" s="8">
        <v>51283.14</v>
      </c>
      <c r="C39" s="8">
        <v>197029.42</v>
      </c>
      <c r="D39" s="8" t="s">
        <v>6</v>
      </c>
      <c r="E39" s="8">
        <v>89949.14</v>
      </c>
      <c r="F39" s="8">
        <f t="shared" si="0"/>
        <v>81910.35110639999</v>
      </c>
      <c r="G39" s="8">
        <f t="shared" si="1"/>
        <v>292382.51</v>
      </c>
      <c r="H39" s="8">
        <f t="shared" si="2"/>
        <v>-71.985208312768094</v>
      </c>
      <c r="I39">
        <f t="shared" si="5"/>
        <v>1</v>
      </c>
      <c r="J39" s="7">
        <f t="shared" si="3"/>
        <v>-71.985208312768094</v>
      </c>
      <c r="K39" t="str">
        <f t="shared" si="4"/>
        <v>Large</v>
      </c>
    </row>
    <row r="40" spans="1:11" x14ac:dyDescent="0.25">
      <c r="A40" s="8">
        <v>20229.59</v>
      </c>
      <c r="B40" s="8">
        <v>65947.929999999993</v>
      </c>
      <c r="C40" s="8">
        <v>185265.1</v>
      </c>
      <c r="D40" s="8" t="s">
        <v>5</v>
      </c>
      <c r="E40" s="8">
        <v>81229.06</v>
      </c>
      <c r="F40" s="8">
        <f t="shared" si="0"/>
        <v>61988.733732299996</v>
      </c>
      <c r="G40" s="8">
        <f t="shared" si="1"/>
        <v>271442.62</v>
      </c>
      <c r="H40" s="8">
        <f t="shared" si="2"/>
        <v>-77.163227450317123</v>
      </c>
      <c r="I40">
        <f t="shared" si="5"/>
        <v>3</v>
      </c>
      <c r="J40" s="7">
        <f t="shared" si="3"/>
        <v>-77.163227450317123</v>
      </c>
      <c r="K40" t="str">
        <f t="shared" si="4"/>
        <v>Mid</v>
      </c>
    </row>
    <row r="41" spans="1:11" x14ac:dyDescent="0.25">
      <c r="A41" s="8">
        <v>38558.51</v>
      </c>
      <c r="B41" s="8">
        <v>82982.09</v>
      </c>
      <c r="C41" s="8">
        <v>174999.3</v>
      </c>
      <c r="D41" s="8" t="s">
        <v>6</v>
      </c>
      <c r="E41" s="8">
        <v>81005.759999999995</v>
      </c>
      <c r="F41" s="8">
        <f t="shared" si="0"/>
        <v>76019.415997900011</v>
      </c>
      <c r="G41" s="8">
        <f t="shared" si="1"/>
        <v>296539.90000000002</v>
      </c>
      <c r="H41" s="8">
        <f t="shared" si="2"/>
        <v>-74.364523628051401</v>
      </c>
      <c r="I41">
        <f t="shared" si="5"/>
        <v>5</v>
      </c>
      <c r="J41" s="7">
        <f t="shared" si="3"/>
        <v>-74.364523628051401</v>
      </c>
      <c r="K41" t="str">
        <f t="shared" si="4"/>
        <v>Large</v>
      </c>
    </row>
    <row r="42" spans="1:11" x14ac:dyDescent="0.25">
      <c r="A42" s="8">
        <v>28754.33</v>
      </c>
      <c r="B42" s="8">
        <v>118546.05</v>
      </c>
      <c r="C42" s="8">
        <v>172795.67</v>
      </c>
      <c r="D42" s="8" t="s">
        <v>6</v>
      </c>
      <c r="E42" s="8">
        <v>78239.91</v>
      </c>
      <c r="F42" s="8">
        <f>42467.53 + 0.8057*A42 - 0.02699*B42 + 0.027*C42</f>
        <v>67100.818881500003</v>
      </c>
      <c r="G42" s="8">
        <f t="shared" si="1"/>
        <v>320096.05000000005</v>
      </c>
      <c r="H42" s="8">
        <f t="shared" si="2"/>
        <v>-79.037286189098552</v>
      </c>
      <c r="I42">
        <f t="shared" si="5"/>
        <v>24</v>
      </c>
      <c r="J42" s="7">
        <f t="shared" si="3"/>
        <v>-79.037286189098552</v>
      </c>
      <c r="K42" t="str">
        <f t="shared" si="4"/>
        <v>Large</v>
      </c>
    </row>
    <row r="43" spans="1:11" x14ac:dyDescent="0.25">
      <c r="A43" s="8">
        <v>27892.92</v>
      </c>
      <c r="B43" s="8">
        <v>84710.77</v>
      </c>
      <c r="C43" s="8">
        <v>164470.71</v>
      </c>
      <c r="D43" s="8" t="s">
        <v>7</v>
      </c>
      <c r="E43" s="8">
        <v>77798.83</v>
      </c>
      <c r="F43" s="8">
        <f t="shared" si="0"/>
        <v>67095.221131699989</v>
      </c>
      <c r="G43" s="8">
        <f t="shared" si="1"/>
        <v>277074.40000000002</v>
      </c>
      <c r="H43" s="8">
        <f t="shared" si="2"/>
        <v>-75.784402625540309</v>
      </c>
      <c r="I43">
        <f t="shared" si="5"/>
        <v>6</v>
      </c>
      <c r="J43" s="7">
        <f t="shared" si="3"/>
        <v>-75.784402625540309</v>
      </c>
      <c r="K43" t="str">
        <f t="shared" si="4"/>
        <v>Large</v>
      </c>
    </row>
    <row r="44" spans="1:11" x14ac:dyDescent="0.25">
      <c r="A44" s="8">
        <v>23640.93</v>
      </c>
      <c r="B44" s="8">
        <v>96189.63</v>
      </c>
      <c r="C44" s="8">
        <v>148001.10999999999</v>
      </c>
      <c r="D44" s="8" t="s">
        <v>6</v>
      </c>
      <c r="E44" s="8">
        <v>71498.490000000005</v>
      </c>
      <c r="F44" s="8">
        <f t="shared" si="0"/>
        <v>62914.899157299995</v>
      </c>
      <c r="G44" s="8">
        <f t="shared" si="1"/>
        <v>267831.67</v>
      </c>
      <c r="H44" s="8">
        <f t="shared" si="2"/>
        <v>-76.509537069570598</v>
      </c>
      <c r="I44">
        <f t="shared" si="5"/>
        <v>10</v>
      </c>
      <c r="J44" s="7">
        <f t="shared" si="3"/>
        <v>-76.509537069570598</v>
      </c>
      <c r="K44" t="str">
        <f t="shared" si="4"/>
        <v>Large</v>
      </c>
    </row>
    <row r="45" spans="1:11" x14ac:dyDescent="0.25">
      <c r="A45" s="8">
        <v>15505.73</v>
      </c>
      <c r="B45" s="8">
        <v>127382.3</v>
      </c>
      <c r="C45" s="8">
        <v>35534.17</v>
      </c>
      <c r="D45" s="8" t="s">
        <v>5</v>
      </c>
      <c r="E45" s="8">
        <v>69758.98</v>
      </c>
      <c r="F45" s="8">
        <f t="shared" si="0"/>
        <v>52481.870973999998</v>
      </c>
      <c r="G45" s="8">
        <f t="shared" si="1"/>
        <v>178422.2</v>
      </c>
      <c r="H45" s="8">
        <f t="shared" si="2"/>
        <v>-70.585571204704351</v>
      </c>
      <c r="I45">
        <f t="shared" si="5"/>
        <v>32</v>
      </c>
      <c r="J45" s="7">
        <f t="shared" si="3"/>
        <v>-70.585571204704351</v>
      </c>
      <c r="K45" t="str">
        <f t="shared" si="4"/>
        <v>Mid</v>
      </c>
    </row>
    <row r="46" spans="1:11" x14ac:dyDescent="0.25">
      <c r="A46" s="8">
        <v>22177.74</v>
      </c>
      <c r="B46" s="8">
        <v>154806.14000000001</v>
      </c>
      <c r="C46" s="8">
        <v>28334.720000000001</v>
      </c>
      <c r="D46" s="8" t="s">
        <v>6</v>
      </c>
      <c r="E46" s="8">
        <v>65200.33</v>
      </c>
      <c r="F46" s="8">
        <f t="shared" si="0"/>
        <v>56922.954839400001</v>
      </c>
      <c r="G46" s="8">
        <f t="shared" si="1"/>
        <v>205318.6</v>
      </c>
      <c r="H46" s="8">
        <f t="shared" si="2"/>
        <v>-72.275792432151803</v>
      </c>
      <c r="I46">
        <f t="shared" si="5"/>
        <v>49</v>
      </c>
      <c r="J46" s="7">
        <f t="shared" si="3"/>
        <v>-72.275792432151803</v>
      </c>
      <c r="K46" t="str">
        <f t="shared" si="4"/>
        <v>Large</v>
      </c>
    </row>
    <row r="47" spans="1:11" x14ac:dyDescent="0.25">
      <c r="A47" s="8">
        <v>1000.23</v>
      </c>
      <c r="B47" s="8">
        <v>124153.04</v>
      </c>
      <c r="C47" s="8">
        <v>1903.93</v>
      </c>
      <c r="D47" s="8" t="s">
        <v>5</v>
      </c>
      <c r="E47" s="8">
        <v>64926.080000000002</v>
      </c>
      <c r="F47" s="8">
        <f t="shared" si="0"/>
        <v>39973.9308714</v>
      </c>
      <c r="G47" s="8">
        <f t="shared" si="1"/>
        <v>127057.19999999998</v>
      </c>
      <c r="H47" s="8">
        <f t="shared" si="2"/>
        <v>-68.53863388190517</v>
      </c>
      <c r="I47">
        <f t="shared" si="5"/>
        <v>29</v>
      </c>
      <c r="J47" s="7">
        <f t="shared" si="3"/>
        <v>-68.53863388190517</v>
      </c>
      <c r="K47" t="str">
        <f t="shared" si="4"/>
        <v>Small</v>
      </c>
    </row>
    <row r="48" spans="1:11" x14ac:dyDescent="0.25">
      <c r="A48" s="8">
        <v>1315.46</v>
      </c>
      <c r="B48" s="8">
        <v>115816.21</v>
      </c>
      <c r="C48" s="8">
        <v>297114.46000000002</v>
      </c>
      <c r="D48" s="8" t="s">
        <v>7</v>
      </c>
      <c r="E48" s="8">
        <v>49490.75</v>
      </c>
      <c r="F48" s="8">
        <f t="shared" si="0"/>
        <v>48423.607034100001</v>
      </c>
      <c r="G48" s="8">
        <f t="shared" si="1"/>
        <v>414246.13</v>
      </c>
      <c r="H48" s="8">
        <f t="shared" si="2"/>
        <v>-88.310426211078905</v>
      </c>
      <c r="I48">
        <f t="shared" si="5"/>
        <v>22</v>
      </c>
      <c r="J48" s="7">
        <f t="shared" si="3"/>
        <v>-88.310426211078905</v>
      </c>
      <c r="K48" t="str">
        <f t="shared" si="4"/>
        <v>Mid</v>
      </c>
    </row>
    <row r="49" spans="1:11" x14ac:dyDescent="0.25">
      <c r="A49" s="8">
        <v>0</v>
      </c>
      <c r="B49" s="8">
        <v>135426.92000000001</v>
      </c>
      <c r="C49" s="8">
        <v>0</v>
      </c>
      <c r="D49" s="8" t="s">
        <v>6</v>
      </c>
      <c r="E49" s="8">
        <v>42559.73</v>
      </c>
      <c r="F49" s="8">
        <f t="shared" si="0"/>
        <v>38812.357429199998</v>
      </c>
      <c r="G49" s="8">
        <f t="shared" si="1"/>
        <v>135426.92000000001</v>
      </c>
      <c r="H49" s="8">
        <f t="shared" si="2"/>
        <v>-71.340736812740047</v>
      </c>
      <c r="I49">
        <f t="shared" si="5"/>
        <v>35</v>
      </c>
      <c r="J49" s="7">
        <f t="shared" si="3"/>
        <v>-71.340736812740047</v>
      </c>
      <c r="K49" t="str">
        <f t="shared" si="4"/>
        <v>Small</v>
      </c>
    </row>
    <row r="50" spans="1:11" x14ac:dyDescent="0.25">
      <c r="A50" s="8">
        <v>542.04999999999995</v>
      </c>
      <c r="B50" s="8">
        <v>51743.15</v>
      </c>
      <c r="C50" s="8">
        <v>0</v>
      </c>
      <c r="D50" s="8" t="s">
        <v>5</v>
      </c>
      <c r="E50" s="8">
        <v>35673.410000000003</v>
      </c>
      <c r="F50" s="8">
        <f>42467.53 + 0.8057*A50 - 0.02699*B50 + 0.027*C50</f>
        <v>41507.712066499997</v>
      </c>
      <c r="G50" s="8">
        <f t="shared" si="1"/>
        <v>52285.200000000004</v>
      </c>
      <c r="H50" s="8">
        <f t="shared" si="2"/>
        <v>-20.612884589711825</v>
      </c>
      <c r="I50">
        <f t="shared" si="5"/>
        <v>2</v>
      </c>
      <c r="J50" s="7">
        <f t="shared" si="3"/>
        <v>-20.612884589711825</v>
      </c>
      <c r="K50" t="str">
        <f t="shared" si="4"/>
        <v>Small</v>
      </c>
    </row>
    <row r="51" spans="1:11" x14ac:dyDescent="0.25">
      <c r="A51" s="8">
        <v>0</v>
      </c>
      <c r="B51" s="8">
        <v>116983.8</v>
      </c>
      <c r="C51" s="8">
        <v>45173.06</v>
      </c>
      <c r="D51" s="8" t="s">
        <v>6</v>
      </c>
      <c r="E51" s="8">
        <v>14681.4</v>
      </c>
      <c r="F51" s="8">
        <f t="shared" si="0"/>
        <v>40529.809857999993</v>
      </c>
      <c r="G51" s="8">
        <f t="shared" si="1"/>
        <v>162156.85999999999</v>
      </c>
      <c r="H51" s="8">
        <f t="shared" si="2"/>
        <v>-75.005800027208224</v>
      </c>
      <c r="I51">
        <f t="shared" si="5"/>
        <v>23</v>
      </c>
      <c r="J51" s="7">
        <f t="shared" si="3"/>
        <v>-75.005800027208224</v>
      </c>
      <c r="K51" t="str">
        <f t="shared" si="4"/>
        <v>Small</v>
      </c>
    </row>
    <row r="52" spans="1:11" x14ac:dyDescent="0.25">
      <c r="A52" s="8">
        <v>21892.92</v>
      </c>
      <c r="B52" s="8">
        <v>81910.77</v>
      </c>
      <c r="C52" s="8">
        <v>164270.70000000001</v>
      </c>
      <c r="D52" s="8"/>
      <c r="E52" s="8"/>
      <c r="F52" s="8">
        <f t="shared" si="0"/>
        <v>62331.192861699994</v>
      </c>
      <c r="G52" s="8">
        <f t="shared" si="1"/>
        <v>268074.39</v>
      </c>
      <c r="H52" s="8">
        <f t="shared" si="2"/>
        <v>-76.748546229388054</v>
      </c>
      <c r="I52">
        <f t="shared" si="5"/>
        <v>4</v>
      </c>
      <c r="J52" s="7">
        <f t="shared" si="3"/>
        <v>-76.748546229388054</v>
      </c>
      <c r="K52" t="str">
        <f t="shared" si="4"/>
        <v>Small</v>
      </c>
    </row>
    <row r="53" spans="1:11" x14ac:dyDescent="0.25">
      <c r="A53" s="8">
        <v>23940.93</v>
      </c>
      <c r="B53" s="8">
        <v>96489.63</v>
      </c>
      <c r="C53" s="8">
        <v>137001.1</v>
      </c>
      <c r="D53" s="8"/>
      <c r="E53" s="8"/>
      <c r="F53" s="8">
        <f t="shared" si="0"/>
        <v>62851.511887300003</v>
      </c>
      <c r="G53" s="8">
        <f t="shared" si="1"/>
        <v>257431.66</v>
      </c>
      <c r="H53" s="8">
        <f t="shared" si="2"/>
        <v>-75.585166219531814</v>
      </c>
      <c r="I53">
        <f t="shared" si="5"/>
        <v>11</v>
      </c>
      <c r="J53" s="7">
        <f t="shared" si="3"/>
        <v>-75.585166219531814</v>
      </c>
      <c r="K53" t="str">
        <f>IF(F53 &lt;= _xlfn.PERCENTILE.INC(F53,0.33),"Small",
   IF(F53 &lt;= _xlfn.PERCENTILE.INC(F53,0.66),"Mid","Large"))</f>
        <v>Small</v>
      </c>
    </row>
    <row r="66" spans="2:2" ht="18" x14ac:dyDescent="0.25">
      <c r="B66" s="2"/>
    </row>
    <row r="68" spans="2:2" ht="15.75" x14ac:dyDescent="0.25">
      <c r="B68" s="3"/>
    </row>
    <row r="72" spans="2:2" ht="15.75" x14ac:dyDescent="0.25">
      <c r="B72" s="3"/>
    </row>
    <row r="76" spans="2:2" ht="15.75" x14ac:dyDescent="0.25">
      <c r="B76" s="3"/>
    </row>
    <row r="80" spans="2:2" ht="15.75" x14ac:dyDescent="0.25">
      <c r="B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04C9-A3A4-4477-B184-68C76BE1F778}">
  <dimension ref="A3:I22"/>
  <sheetViews>
    <sheetView topLeftCell="A9" workbookViewId="0">
      <selection activeCell="L29" sqref="L29"/>
    </sheetView>
  </sheetViews>
  <sheetFormatPr defaultRowHeight="15" x14ac:dyDescent="0.25"/>
  <cols>
    <col min="1" max="1" width="17.5703125" bestFit="1" customWidth="1"/>
    <col min="2" max="2" width="12.14062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1.28515625" bestFit="1" customWidth="1"/>
    <col min="8" max="9" width="12.85546875" bestFit="1" customWidth="1"/>
  </cols>
  <sheetData>
    <row r="3" spans="1:6" x14ac:dyDescent="0.25">
      <c r="A3" t="s">
        <v>8</v>
      </c>
    </row>
    <row r="4" spans="1:6" ht="15.75" thickBot="1" x14ac:dyDescent="0.3"/>
    <row r="5" spans="1:6" x14ac:dyDescent="0.25">
      <c r="A5" s="6" t="s">
        <v>9</v>
      </c>
      <c r="B5" s="6"/>
    </row>
    <row r="6" spans="1:6" x14ac:dyDescent="0.25">
      <c r="A6" t="s">
        <v>10</v>
      </c>
      <c r="B6">
        <v>1</v>
      </c>
    </row>
    <row r="7" spans="1:6" x14ac:dyDescent="0.25">
      <c r="A7" t="s">
        <v>11</v>
      </c>
      <c r="B7">
        <v>1</v>
      </c>
    </row>
    <row r="8" spans="1:6" x14ac:dyDescent="0.25">
      <c r="A8" t="s">
        <v>12</v>
      </c>
      <c r="B8">
        <v>1</v>
      </c>
    </row>
    <row r="9" spans="1:6" x14ac:dyDescent="0.25">
      <c r="A9" t="s">
        <v>13</v>
      </c>
      <c r="B9">
        <v>2.1659555318242235E-11</v>
      </c>
    </row>
    <row r="10" spans="1:6" ht="15.75" thickBot="1" x14ac:dyDescent="0.3">
      <c r="A10" s="4" t="s">
        <v>14</v>
      </c>
      <c r="B10" s="4">
        <v>51</v>
      </c>
    </row>
    <row r="12" spans="1:6" ht="15.75" thickBot="1" x14ac:dyDescent="0.3">
      <c r="A12" t="s">
        <v>15</v>
      </c>
    </row>
    <row r="13" spans="1:6" x14ac:dyDescent="0.25">
      <c r="A13" s="5"/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</row>
    <row r="14" spans="1:6" x14ac:dyDescent="0.25">
      <c r="A14" t="s">
        <v>16</v>
      </c>
      <c r="B14">
        <v>3</v>
      </c>
      <c r="C14">
        <v>72074662565.811203</v>
      </c>
      <c r="D14">
        <v>24024887521.937069</v>
      </c>
      <c r="E14">
        <v>5.1210886150652258E+31</v>
      </c>
      <c r="F14">
        <v>0</v>
      </c>
    </row>
    <row r="15" spans="1:6" x14ac:dyDescent="0.25">
      <c r="A15" t="s">
        <v>17</v>
      </c>
      <c r="B15">
        <v>47</v>
      </c>
      <c r="C15">
        <v>2.2049407819447785E-20</v>
      </c>
      <c r="D15">
        <v>4.6913633658399547E-22</v>
      </c>
    </row>
    <row r="16" spans="1:6" ht="15.75" thickBot="1" x14ac:dyDescent="0.3">
      <c r="A16" s="4" t="s">
        <v>18</v>
      </c>
      <c r="B16" s="4">
        <v>50</v>
      </c>
      <c r="C16" s="4">
        <v>72074662565.811203</v>
      </c>
      <c r="D16" s="4"/>
      <c r="E16" s="4"/>
      <c r="F16" s="4"/>
    </row>
    <row r="17" spans="1:9" ht="15.75" thickBot="1" x14ac:dyDescent="0.3"/>
    <row r="18" spans="1:9" x14ac:dyDescent="0.25">
      <c r="A18" s="5"/>
      <c r="B18" s="5" t="s">
        <v>25</v>
      </c>
      <c r="C18" s="5" t="s">
        <v>13</v>
      </c>
      <c r="D18" s="5" t="s">
        <v>26</v>
      </c>
      <c r="E18" s="5" t="s">
        <v>27</v>
      </c>
      <c r="F18" s="5" t="s">
        <v>28</v>
      </c>
      <c r="G18" s="5" t="s">
        <v>29</v>
      </c>
      <c r="H18" s="5" t="s">
        <v>30</v>
      </c>
      <c r="I18" s="5" t="s">
        <v>31</v>
      </c>
    </row>
    <row r="19" spans="1:9" x14ac:dyDescent="0.25">
      <c r="A19" t="s">
        <v>19</v>
      </c>
      <c r="B19">
        <v>42467.530000000006</v>
      </c>
      <c r="C19">
        <v>1.5149434155853206E-11</v>
      </c>
      <c r="D19">
        <v>2803241993272207.5</v>
      </c>
      <c r="E19">
        <v>0</v>
      </c>
      <c r="F19">
        <v>42467.529999999977</v>
      </c>
      <c r="G19">
        <v>42467.530000000035</v>
      </c>
      <c r="H19">
        <v>42467.529999999977</v>
      </c>
      <c r="I19">
        <v>42467.530000000035</v>
      </c>
    </row>
    <row r="20" spans="1:9" x14ac:dyDescent="0.25">
      <c r="A20">
        <v>165349.20000000001</v>
      </c>
      <c r="B20">
        <v>0.80569999999999997</v>
      </c>
      <c r="C20">
        <v>1.0521045333134896E-16</v>
      </c>
      <c r="D20">
        <v>7657984301831063</v>
      </c>
      <c r="E20">
        <v>0</v>
      </c>
      <c r="F20">
        <v>0.80569999999999975</v>
      </c>
      <c r="G20">
        <v>0.80570000000000019</v>
      </c>
      <c r="H20">
        <v>0.80569999999999975</v>
      </c>
      <c r="I20">
        <v>0.80570000000000019</v>
      </c>
    </row>
    <row r="21" spans="1:9" x14ac:dyDescent="0.25">
      <c r="A21">
        <v>136897.79999999999</v>
      </c>
      <c r="B21">
        <v>-2.6989999999999899E-2</v>
      </c>
      <c r="C21">
        <v>1.1837800787734676E-16</v>
      </c>
      <c r="D21">
        <v>-227998430485201.66</v>
      </c>
      <c r="E21">
        <v>0</v>
      </c>
      <c r="F21">
        <v>-2.6990000000000139E-2</v>
      </c>
      <c r="G21">
        <v>-2.698999999999966E-2</v>
      </c>
      <c r="H21">
        <v>-2.6990000000000139E-2</v>
      </c>
      <c r="I21">
        <v>-2.698999999999966E-2</v>
      </c>
    </row>
    <row r="22" spans="1:9" ht="15.75" thickBot="1" x14ac:dyDescent="0.3">
      <c r="A22" s="4">
        <v>471784.1</v>
      </c>
      <c r="B22" s="4">
        <v>2.6999999999999798E-2</v>
      </c>
      <c r="C22" s="4">
        <v>3.9084831301455225E-17</v>
      </c>
      <c r="D22" s="4">
        <v>690805079642099.5</v>
      </c>
      <c r="E22" s="4">
        <v>0</v>
      </c>
      <c r="F22" s="4">
        <v>2.6999999999999719E-2</v>
      </c>
      <c r="G22" s="4">
        <v>2.6999999999999878E-2</v>
      </c>
      <c r="H22" s="4">
        <v>2.6999999999999719E-2</v>
      </c>
      <c r="I22" s="4">
        <v>2.6999999999999878E-2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</vt:lpstr>
      <vt:lpstr>Regression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Nayak</cp:lastModifiedBy>
  <dcterms:created xsi:type="dcterms:W3CDTF">2025-12-11T12:52:36Z</dcterms:created>
  <dcterms:modified xsi:type="dcterms:W3CDTF">2025-12-12T08:15:19Z</dcterms:modified>
</cp:coreProperties>
</file>